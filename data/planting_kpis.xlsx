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Per_Seedling" sheetId="1" state="visible" r:id="rId1"/>
    <sheet xmlns:r="http://schemas.openxmlformats.org/officeDocument/2006/relationships" name="Planting_Programme" sheetId="2" state="visible" r:id="rId2"/>
    <sheet xmlns:r="http://schemas.openxmlformats.org/officeDocument/2006/relationships" name="Actual_vs_Target" sheetId="3" state="visible" r:id="rId3"/>
    <sheet xmlns:r="http://schemas.openxmlformats.org/officeDocument/2006/relationships" name="Dashboard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26" customWidth="1" min="4" max="4"/>
    <col width="24" customWidth="1" min="5" max="5"/>
    <col width="12" customWidth="1" min="6" max="6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 Labor Cost (R)</t>
        </is>
      </c>
      <c r="D1" s="1" t="inlineStr">
        <is>
          <t>Qty Seedlings Planted</t>
        </is>
      </c>
      <c r="E1" s="1" t="inlineStr">
        <is>
          <t>Cost per Seedling (R)</t>
        </is>
      </c>
      <c r="F1" s="1" t="inlineStr">
        <is>
          <t>Status</t>
        </is>
      </c>
    </row>
    <row r="2">
      <c r="A2" t="inlineStr">
        <is>
          <t>Week 1</t>
        </is>
      </c>
      <c r="B2" t="inlineStr">
        <is>
          <t>2024-01-01</t>
        </is>
      </c>
      <c r="C2" t="n">
        <v>9116.110000000001</v>
      </c>
      <c r="D2" t="n">
        <v>4132</v>
      </c>
      <c r="E2">
        <f>C2/D2</f>
        <v/>
      </c>
      <c r="F2">
        <f>IF(E2&lt;=2.5,"GREEN",IF(E2&lt;=3.5,"ORANGE","RED"))</f>
        <v/>
      </c>
    </row>
    <row r="3">
      <c r="A3" t="inlineStr">
        <is>
          <t>Week 2</t>
        </is>
      </c>
      <c r="B3" t="inlineStr">
        <is>
          <t>2024-01-08</t>
        </is>
      </c>
      <c r="C3" t="n">
        <v>9741.049999999999</v>
      </c>
      <c r="D3" t="n">
        <v>3073</v>
      </c>
      <c r="E3">
        <f>C3/D3</f>
        <v/>
      </c>
      <c r="F3">
        <f>IF(E3&lt;=2.5,"GREEN",IF(E3&lt;=3.5,"ORANGE","RED"))</f>
        <v/>
      </c>
    </row>
    <row r="4">
      <c r="A4" t="inlineStr">
        <is>
          <t>Week 3</t>
        </is>
      </c>
      <c r="B4" t="inlineStr">
        <is>
          <t>2024-01-15</t>
        </is>
      </c>
      <c r="C4" t="n">
        <v>13858.02</v>
      </c>
      <c r="D4" t="n">
        <v>3560</v>
      </c>
      <c r="E4">
        <f>C4/D4</f>
        <v/>
      </c>
      <c r="F4">
        <f>IF(E4&lt;=2.5,"GREEN",IF(E4&lt;=3.5,"ORANGE","RED"))</f>
        <v/>
      </c>
    </row>
    <row r="5">
      <c r="A5" t="inlineStr">
        <is>
          <t>Week 4</t>
        </is>
      </c>
      <c r="B5" t="inlineStr">
        <is>
          <t>2024-01-22</t>
        </is>
      </c>
      <c r="C5" t="n">
        <v>9150.629999999999</v>
      </c>
      <c r="D5" t="n">
        <v>4491</v>
      </c>
      <c r="E5">
        <f>C5/D5</f>
        <v/>
      </c>
      <c r="F5">
        <f>IF(E5&lt;=2.5,"GREEN",IF(E5&lt;=3.5,"ORANGE","RED"))</f>
        <v/>
      </c>
    </row>
    <row r="6">
      <c r="A6" t="inlineStr">
        <is>
          <t>Week 5</t>
        </is>
      </c>
      <c r="B6" t="inlineStr">
        <is>
          <t>2024-01-29</t>
        </is>
      </c>
      <c r="C6" t="n">
        <v>8782.809999999999</v>
      </c>
      <c r="D6" t="n">
        <v>3612</v>
      </c>
      <c r="E6">
        <f>C6/D6</f>
        <v/>
      </c>
      <c r="F6">
        <f>IF(E6&lt;=2.5,"GREEN",IF(E6&lt;=3.5,"ORANGE","RED"))</f>
        <v/>
      </c>
    </row>
    <row r="7">
      <c r="A7" t="inlineStr">
        <is>
          <t>Week 6</t>
        </is>
      </c>
      <c r="B7" t="inlineStr">
        <is>
          <t>2024-02-05</t>
        </is>
      </c>
      <c r="C7" t="n">
        <v>9357.75</v>
      </c>
      <c r="D7" t="n">
        <v>4086</v>
      </c>
      <c r="E7">
        <f>C7/D7</f>
        <v/>
      </c>
      <c r="F7">
        <f>IF(E7&lt;=2.5,"GREEN",IF(E7&lt;=3.5,"ORANGE","RED"))</f>
        <v/>
      </c>
    </row>
    <row r="8">
      <c r="A8" t="inlineStr">
        <is>
          <t>Week 7</t>
        </is>
      </c>
      <c r="B8" t="inlineStr">
        <is>
          <t>2024-02-12</t>
        </is>
      </c>
      <c r="C8" t="n">
        <v>13482.84</v>
      </c>
      <c r="D8" t="n">
        <v>3188</v>
      </c>
      <c r="E8">
        <f>C8/D8</f>
        <v/>
      </c>
      <c r="F8">
        <f>IF(E8&lt;=2.5,"GREEN",IF(E8&lt;=3.5,"ORANGE","RED"))</f>
        <v/>
      </c>
    </row>
    <row r="9">
      <c r="A9" t="inlineStr">
        <is>
          <t>Week 8</t>
        </is>
      </c>
      <c r="B9" t="inlineStr">
        <is>
          <t>2024-02-19</t>
        </is>
      </c>
      <c r="C9" t="n">
        <v>10768.65</v>
      </c>
      <c r="D9" t="n">
        <v>5019</v>
      </c>
      <c r="E9">
        <f>C9/D9</f>
        <v/>
      </c>
      <c r="F9">
        <f>IF(E9&lt;=2.5,"GREEN",IF(E9&lt;=3.5,"ORANGE","RED"))</f>
        <v/>
      </c>
    </row>
    <row r="10">
      <c r="A10" t="inlineStr">
        <is>
          <t>Week 9</t>
        </is>
      </c>
      <c r="B10" t="inlineStr">
        <is>
          <t>2024-02-26</t>
        </is>
      </c>
      <c r="C10" t="n">
        <v>11007.01</v>
      </c>
      <c r="D10" t="n">
        <v>5613</v>
      </c>
      <c r="E10">
        <f>C10/D10</f>
        <v/>
      </c>
      <c r="F10">
        <f>IF(E10&lt;=2.5,"GREEN",IF(E10&lt;=3.5,"ORANGE","RED"))</f>
        <v/>
      </c>
    </row>
    <row r="11">
      <c r="A11" t="inlineStr">
        <is>
          <t>Week 10</t>
        </is>
      </c>
      <c r="B11" t="inlineStr">
        <is>
          <t>2024-03-04</t>
        </is>
      </c>
      <c r="C11" t="n">
        <v>9526.780000000001</v>
      </c>
      <c r="D11" t="n">
        <v>5319</v>
      </c>
      <c r="E11">
        <f>C11/D11</f>
        <v/>
      </c>
      <c r="F11">
        <f>IF(E11&lt;=2.5,"GREEN",IF(E11&lt;=3.5,"ORANGE","RED"))</f>
        <v/>
      </c>
    </row>
    <row r="12">
      <c r="A12" t="inlineStr">
        <is>
          <t>Week 11</t>
        </is>
      </c>
      <c r="B12" t="inlineStr">
        <is>
          <t>2024-03-11</t>
        </is>
      </c>
      <c r="C12" t="n">
        <v>12282.32</v>
      </c>
      <c r="D12" t="n">
        <v>4478</v>
      </c>
      <c r="E12">
        <f>C12/D12</f>
        <v/>
      </c>
      <c r="F12">
        <f>IF(E12&lt;=2.5,"GREEN",IF(E12&lt;=3.5,"ORANGE","RED"))</f>
        <v/>
      </c>
    </row>
    <row r="13">
      <c r="A13" t="inlineStr">
        <is>
          <t>Week 12</t>
        </is>
      </c>
      <c r="B13" t="inlineStr">
        <is>
          <t>2024-03-18</t>
        </is>
      </c>
      <c r="C13" t="n">
        <v>12619.24</v>
      </c>
      <c r="D13" t="n">
        <v>5744</v>
      </c>
      <c r="E13">
        <f>C13/D13</f>
        <v/>
      </c>
      <c r="F13">
        <f>IF(E13&lt;=2.5,"GREEN",IF(E13&lt;=3.5,"ORANGE","RED"))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Week</t>
        </is>
      </c>
      <c r="B1" s="1" t="inlineStr">
        <is>
          <t>Planned Date</t>
        </is>
      </c>
      <c r="C1" s="1" t="inlineStr">
        <is>
          <t>Actual Date</t>
        </is>
      </c>
      <c r="D1" s="1" t="inlineStr">
        <is>
          <t>Weeks Behind</t>
        </is>
      </c>
      <c r="E1" s="1" t="inlineStr">
        <is>
          <t>Status</t>
        </is>
      </c>
    </row>
    <row r="2">
      <c r="A2" t="inlineStr">
        <is>
          <t>Week 1</t>
        </is>
      </c>
      <c r="B2" t="inlineStr">
        <is>
          <t>2024-01-01</t>
        </is>
      </c>
      <c r="C2" t="inlineStr">
        <is>
          <t>2024-01-01</t>
        </is>
      </c>
      <c r="D2" t="n">
        <v>0</v>
      </c>
      <c r="E2">
        <f>IF(D2=0,"GREEN",IF(D2&lt;=1,"ORANGE","RED"))</f>
        <v/>
      </c>
    </row>
    <row r="3">
      <c r="A3" t="inlineStr">
        <is>
          <t>Week 2</t>
        </is>
      </c>
      <c r="B3" t="inlineStr">
        <is>
          <t>2024-01-08</t>
        </is>
      </c>
      <c r="C3" t="inlineStr">
        <is>
          <t>2024-01-08</t>
        </is>
      </c>
      <c r="D3" t="n">
        <v>0</v>
      </c>
      <c r="E3">
        <f>IF(D3=0,"GREEN",IF(D3&lt;=1,"ORANGE","RED"))</f>
        <v/>
      </c>
    </row>
    <row r="4">
      <c r="A4" t="inlineStr">
        <is>
          <t>Week 3</t>
        </is>
      </c>
      <c r="B4" t="inlineStr">
        <is>
          <t>2024-01-15</t>
        </is>
      </c>
      <c r="C4" t="inlineStr">
        <is>
          <t>2024-01-22</t>
        </is>
      </c>
      <c r="D4" t="n">
        <v>1</v>
      </c>
      <c r="E4">
        <f>IF(D4=0,"GREEN",IF(D4&lt;=1,"ORANGE","RED"))</f>
        <v/>
      </c>
    </row>
    <row r="5">
      <c r="A5" t="inlineStr">
        <is>
          <t>Week 4</t>
        </is>
      </c>
      <c r="B5" t="inlineStr">
        <is>
          <t>2024-01-22</t>
        </is>
      </c>
      <c r="C5" t="inlineStr">
        <is>
          <t>2024-01-22</t>
        </is>
      </c>
      <c r="D5" t="n">
        <v>0</v>
      </c>
      <c r="E5">
        <f>IF(D5=0,"GREEN",IF(D5&lt;=1,"ORANGE","RED"))</f>
        <v/>
      </c>
    </row>
    <row r="6">
      <c r="A6" t="inlineStr">
        <is>
          <t>Week 5</t>
        </is>
      </c>
      <c r="B6" t="inlineStr">
        <is>
          <t>2024-01-29</t>
        </is>
      </c>
      <c r="C6" t="inlineStr">
        <is>
          <t>2024-02-12</t>
        </is>
      </c>
      <c r="D6" t="n">
        <v>2</v>
      </c>
      <c r="E6">
        <f>IF(D6=0,"GREEN",IF(D6&lt;=1,"ORANGE","RED"))</f>
        <v/>
      </c>
    </row>
    <row r="7">
      <c r="A7" t="inlineStr">
        <is>
          <t>Week 6</t>
        </is>
      </c>
      <c r="B7" t="inlineStr">
        <is>
          <t>2024-02-05</t>
        </is>
      </c>
      <c r="C7" t="inlineStr">
        <is>
          <t>2024-02-26</t>
        </is>
      </c>
      <c r="D7" t="n">
        <v>3</v>
      </c>
      <c r="E7">
        <f>IF(D7=0,"GREEN",IF(D7&lt;=1,"ORANGE","RED"))</f>
        <v/>
      </c>
    </row>
    <row r="8">
      <c r="A8" t="inlineStr">
        <is>
          <t>Week 7</t>
        </is>
      </c>
      <c r="B8" t="inlineStr">
        <is>
          <t>2024-02-12</t>
        </is>
      </c>
      <c r="C8" t="inlineStr">
        <is>
          <t>2024-02-19</t>
        </is>
      </c>
      <c r="D8" t="n">
        <v>1</v>
      </c>
      <c r="E8">
        <f>IF(D8=0,"GREEN",IF(D8&lt;=1,"ORANGE","RED"))</f>
        <v/>
      </c>
    </row>
    <row r="9">
      <c r="A9" t="inlineStr">
        <is>
          <t>Week 8</t>
        </is>
      </c>
      <c r="B9" t="inlineStr">
        <is>
          <t>2024-02-19</t>
        </is>
      </c>
      <c r="C9" t="inlineStr">
        <is>
          <t>2024-02-19</t>
        </is>
      </c>
      <c r="D9" t="n">
        <v>0</v>
      </c>
      <c r="E9">
        <f>IF(D9=0,"GREEN",IF(D9&lt;=1,"ORANGE","RED"))</f>
        <v/>
      </c>
    </row>
    <row r="10">
      <c r="A10" t="inlineStr">
        <is>
          <t>Week 9</t>
        </is>
      </c>
      <c r="B10" t="inlineStr">
        <is>
          <t>2024-02-26</t>
        </is>
      </c>
      <c r="C10" t="inlineStr">
        <is>
          <t>2024-03-25</t>
        </is>
      </c>
      <c r="D10" t="n">
        <v>4</v>
      </c>
      <c r="E10">
        <f>IF(D10=0,"GREEN",IF(D10&lt;=1,"ORANGE","RED"))</f>
        <v/>
      </c>
    </row>
    <row r="11">
      <c r="A11" t="inlineStr">
        <is>
          <t>Week 10</t>
        </is>
      </c>
      <c r="B11" t="inlineStr">
        <is>
          <t>2024-03-04</t>
        </is>
      </c>
      <c r="C11" t="inlineStr">
        <is>
          <t>2024-03-04</t>
        </is>
      </c>
      <c r="D11" t="n">
        <v>0</v>
      </c>
      <c r="E11">
        <f>IF(D11=0,"GREEN",IF(D11&lt;=1,"ORANGE","RED"))</f>
        <v/>
      </c>
    </row>
    <row r="12">
      <c r="A12" t="inlineStr">
        <is>
          <t>Week 11</t>
        </is>
      </c>
      <c r="B12" t="inlineStr">
        <is>
          <t>2024-03-11</t>
        </is>
      </c>
      <c r="C12" t="inlineStr">
        <is>
          <t>2024-03-18</t>
        </is>
      </c>
      <c r="D12" t="n">
        <v>1</v>
      </c>
      <c r="E12">
        <f>IF(D12=0,"GREEN",IF(D12&lt;=1,"ORANGE","RED"))</f>
        <v/>
      </c>
    </row>
    <row r="13">
      <c r="A13" t="inlineStr">
        <is>
          <t>Week 12</t>
        </is>
      </c>
      <c r="B13" t="inlineStr">
        <is>
          <t>2024-03-18</t>
        </is>
      </c>
      <c r="C13" t="inlineStr">
        <is>
          <t>2024-04-01</t>
        </is>
      </c>
      <c r="D13" t="n">
        <v>2</v>
      </c>
      <c r="E13">
        <f>IF(D13=0,"GREEN",IF(D13&lt;=1,"ORANGE","RED"))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Target Qty</t>
        </is>
      </c>
      <c r="D1" s="1" t="inlineStr">
        <is>
          <t>Actual Qty</t>
        </is>
      </c>
      <c r="E1" s="1" t="inlineStr">
        <is>
          <t>Achievement (%)</t>
        </is>
      </c>
      <c r="F1" s="1" t="inlineStr">
        <is>
          <t>Status</t>
        </is>
      </c>
    </row>
    <row r="2">
      <c r="A2" t="inlineStr">
        <is>
          <t>Week 1</t>
        </is>
      </c>
      <c r="B2" t="inlineStr">
        <is>
          <t>2024-01-01</t>
        </is>
      </c>
      <c r="C2" t="n">
        <v>5000</v>
      </c>
      <c r="D2" t="n">
        <v>4750</v>
      </c>
      <c r="E2">
        <f>D2/C2*100</f>
        <v/>
      </c>
      <c r="F2">
        <f>IF(E2&gt;=90,"GREEN",IF(E2&gt;=75,"ORANGE","RED"))</f>
        <v/>
      </c>
    </row>
    <row r="3">
      <c r="A3" t="inlineStr">
        <is>
          <t>Week 2</t>
        </is>
      </c>
      <c r="B3" t="inlineStr">
        <is>
          <t>2024-01-08</t>
        </is>
      </c>
      <c r="C3" t="n">
        <v>5000</v>
      </c>
      <c r="D3" t="n">
        <v>5100</v>
      </c>
      <c r="E3">
        <f>D3/C3*100</f>
        <v/>
      </c>
      <c r="F3">
        <f>IF(E3&gt;=90,"GREEN",IF(E3&gt;=75,"ORANGE","RED"))</f>
        <v/>
      </c>
    </row>
    <row r="4">
      <c r="A4" t="inlineStr">
        <is>
          <t>Week 3</t>
        </is>
      </c>
      <c r="B4" t="inlineStr">
        <is>
          <t>2024-01-15</t>
        </is>
      </c>
      <c r="C4" t="n">
        <v>5000</v>
      </c>
      <c r="D4" t="n">
        <v>3900</v>
      </c>
      <c r="E4">
        <f>D4/C4*100</f>
        <v/>
      </c>
      <c r="F4">
        <f>IF(E4&gt;=90,"GREEN",IF(E4&gt;=75,"ORANGE","RED"))</f>
        <v/>
      </c>
    </row>
    <row r="5">
      <c r="A5" t="inlineStr">
        <is>
          <t>Week 4</t>
        </is>
      </c>
      <c r="B5" t="inlineStr">
        <is>
          <t>2024-01-22</t>
        </is>
      </c>
      <c r="C5" t="n">
        <v>5000</v>
      </c>
      <c r="D5" t="n">
        <v>4400</v>
      </c>
      <c r="E5">
        <f>D5/C5*100</f>
        <v/>
      </c>
      <c r="F5">
        <f>IF(E5&gt;=90,"GREEN",IF(E5&gt;=75,"ORANGE","RED"))</f>
        <v/>
      </c>
    </row>
    <row r="6">
      <c r="A6" t="inlineStr">
        <is>
          <t>Week 5</t>
        </is>
      </c>
      <c r="B6" t="inlineStr">
        <is>
          <t>2024-01-29</t>
        </is>
      </c>
      <c r="C6" t="n">
        <v>5000</v>
      </c>
      <c r="D6" t="n">
        <v>3250</v>
      </c>
      <c r="E6">
        <f>D6/C6*100</f>
        <v/>
      </c>
      <c r="F6">
        <f>IF(E6&gt;=90,"GREEN",IF(E6&gt;=75,"ORANGE","RED"))</f>
        <v/>
      </c>
    </row>
    <row r="7">
      <c r="A7" t="inlineStr">
        <is>
          <t>Week 6</t>
        </is>
      </c>
      <c r="B7" t="inlineStr">
        <is>
          <t>2024-02-05</t>
        </is>
      </c>
      <c r="C7" t="n">
        <v>5000</v>
      </c>
      <c r="D7" t="n">
        <v>5500</v>
      </c>
      <c r="E7">
        <f>D7/C7*100</f>
        <v/>
      </c>
      <c r="F7">
        <f>IF(E7&gt;=90,"GREEN",IF(E7&gt;=75,"ORANGE","RED"))</f>
        <v/>
      </c>
    </row>
    <row r="8">
      <c r="A8" t="inlineStr">
        <is>
          <t>Week 7</t>
        </is>
      </c>
      <c r="B8" t="inlineStr">
        <is>
          <t>2024-02-12</t>
        </is>
      </c>
      <c r="C8" t="n">
        <v>5000</v>
      </c>
      <c r="D8" t="n">
        <v>4650</v>
      </c>
      <c r="E8">
        <f>D8/C8*100</f>
        <v/>
      </c>
      <c r="F8">
        <f>IF(E8&gt;=90,"GREEN",IF(E8&gt;=75,"ORANGE","RED"))</f>
        <v/>
      </c>
    </row>
    <row r="9">
      <c r="A9" t="inlineStr">
        <is>
          <t>Week 8</t>
        </is>
      </c>
      <c r="B9" t="inlineStr">
        <is>
          <t>2024-02-19</t>
        </is>
      </c>
      <c r="C9" t="n">
        <v>5000</v>
      </c>
      <c r="D9" t="n">
        <v>4250</v>
      </c>
      <c r="E9">
        <f>D9/C9*100</f>
        <v/>
      </c>
      <c r="F9">
        <f>IF(E9&gt;=90,"GREEN",IF(E9&gt;=75,"ORANGE","RED"))</f>
        <v/>
      </c>
    </row>
    <row r="10">
      <c r="A10" t="inlineStr">
        <is>
          <t>Week 9</t>
        </is>
      </c>
      <c r="B10" t="inlineStr">
        <is>
          <t>2024-02-26</t>
        </is>
      </c>
      <c r="C10" t="n">
        <v>5000</v>
      </c>
      <c r="D10" t="n">
        <v>3600</v>
      </c>
      <c r="E10">
        <f>D10/C10*100</f>
        <v/>
      </c>
      <c r="F10">
        <f>IF(E10&gt;=90,"GREEN",IF(E10&gt;=75,"ORANGE","RED"))</f>
        <v/>
      </c>
    </row>
    <row r="11">
      <c r="A11" t="inlineStr">
        <is>
          <t>Week 10</t>
        </is>
      </c>
      <c r="B11" t="inlineStr">
        <is>
          <t>2024-03-04</t>
        </is>
      </c>
      <c r="C11" t="n">
        <v>5000</v>
      </c>
      <c r="D11" t="n">
        <v>4950</v>
      </c>
      <c r="E11">
        <f>D11/C11*100</f>
        <v/>
      </c>
      <c r="F11">
        <f>IF(E11&gt;=90,"GREEN",IF(E11&gt;=75,"ORANGE","RED"))</f>
        <v/>
      </c>
    </row>
    <row r="12">
      <c r="A12" t="inlineStr">
        <is>
          <t>Week 11</t>
        </is>
      </c>
      <c r="B12" t="inlineStr">
        <is>
          <t>2024-03-11</t>
        </is>
      </c>
      <c r="C12" t="n">
        <v>5000</v>
      </c>
      <c r="D12" t="n">
        <v>4400</v>
      </c>
      <c r="E12">
        <f>D12/C12*100</f>
        <v/>
      </c>
      <c r="F12">
        <f>IF(E12&gt;=90,"GREEN",IF(E12&gt;=75,"ORANGE","RED"))</f>
        <v/>
      </c>
    </row>
    <row r="13">
      <c r="A13" t="inlineStr">
        <is>
          <t>Week 12</t>
        </is>
      </c>
      <c r="B13" t="inlineStr">
        <is>
          <t>2024-03-18</t>
        </is>
      </c>
      <c r="C13" t="n">
        <v>5000</v>
      </c>
      <c r="D13" t="n">
        <v>5200</v>
      </c>
      <c r="E13">
        <f>D13/C13*100</f>
        <v/>
      </c>
      <c r="F13">
        <f>IF(E13&gt;=90,"GREEN",IF(E13&gt;=75,"ORANGE","RED"))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2" t="inlineStr">
        <is>
          <t>PLANTING KPI DASHBOARD</t>
        </is>
      </c>
    </row>
    <row r="3">
      <c r="A3" s="3" t="inlineStr">
        <is>
          <t>KPI</t>
        </is>
      </c>
      <c r="B3" s="3" t="inlineStr">
        <is>
          <t>Latest Value</t>
        </is>
      </c>
      <c r="C3" s="3" t="inlineStr">
        <is>
          <t>Status</t>
        </is>
      </c>
    </row>
    <row r="4">
      <c r="A4" t="inlineStr">
        <is>
          <t>Cost per Seedling (latest week)</t>
        </is>
      </c>
      <c r="B4">
        <f>Cost_Per_Seedling!E13</f>
        <v/>
      </c>
      <c r="C4">
        <f>Cost_Per_Seedling!F13</f>
        <v/>
      </c>
    </row>
    <row r="5">
      <c r="A5" t="inlineStr">
        <is>
          <t>Weeks Behind Programme (latest)</t>
        </is>
      </c>
      <c r="B5">
        <f>Planting_Programme!D13</f>
        <v/>
      </c>
      <c r="C5">
        <f>Planting_Programme!E13</f>
        <v/>
      </c>
    </row>
    <row r="6">
      <c r="A6" t="inlineStr">
        <is>
          <t>Achievement % (latest week)</t>
        </is>
      </c>
      <c r="B6">
        <f>Actual_vs_Target!E13</f>
        <v/>
      </c>
      <c r="C6">
        <f>Actual_vs_Target!F13</f>
        <v/>
      </c>
    </row>
    <row r="8">
      <c r="A8" s="4" t="inlineStr">
        <is>
          <t>ALERT THRESHOLDS</t>
        </is>
      </c>
    </row>
    <row r="9">
      <c r="A9" t="inlineStr">
        <is>
          <t>Cost per Seedling: GREEN &lt;= R2.50 | ORANGE &lt;= R3.50 | RED &gt; R3.50</t>
        </is>
      </c>
    </row>
    <row r="10">
      <c r="A10" t="inlineStr">
        <is>
          <t>Planting Programme: GREEN = on time | ORANGE = 1 week behind | RED = 2+ weeks behind</t>
        </is>
      </c>
    </row>
    <row r="11">
      <c r="A11" t="inlineStr">
        <is>
          <t>Achievement %: GREEN &gt;= 90% | ORANGE &gt;= 75% | RED &lt; 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2026-03-11T19:16:44Z</dcterms:created>
  <dcterms:modified xmlns:dcterms="http://purl.org/dc/terms/" xmlns:xsi="http://www.w3.org/2001/XMLSchema-instance" xsi:type="dcterms:W3CDTF">2026-03-11T19:16:44Z</dcterms:modified>
</cp:coreProperties>
</file>